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javierzazo/Library/CloudStorage/GoogleDrive-javizzdz76@gmail.com/Mi unidad/context/code/ProyectoCopilot/RFP/"/>
    </mc:Choice>
  </mc:AlternateContent>
  <xr:revisionPtr revIDLastSave="0" documentId="13_ncr:1_{A61963B5-7C98-8148-A701-A8E353BFAF01}" xr6:coauthVersionLast="47" xr6:coauthVersionMax="47" xr10:uidLastSave="{00000000-0000-0000-0000-000000000000}"/>
  <bookViews>
    <workbookView xWindow="3800" yWindow="-21600" windowWidth="38400" windowHeight="21600" xr2:uid="{00000000-000D-0000-FFFF-FFFF00000000}"/>
  </bookViews>
  <sheets>
    <sheet name="Sheet1" sheetId="1" r:id="rId1"/>
    <sheet name="Hoja1" sheetId="2" r:id="rId2"/>
  </sheets>
  <definedNames>
    <definedName name="_xlnm._FilterDatabase" localSheetId="0" hidden="1">Sheet1!$A$1:$D$125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5" i="1" l="1"/>
  <c r="F124" i="1"/>
  <c r="F123" i="1"/>
  <c r="F122" i="1"/>
  <c r="F121" i="1"/>
  <c r="F120" i="1"/>
  <c r="F119" i="1"/>
  <c r="F118" i="1"/>
  <c r="F117" i="1"/>
  <c r="F116" i="1"/>
  <c r="F115" i="1"/>
  <c r="F114" i="1"/>
  <c r="F113" i="1"/>
  <c r="F112" i="1"/>
  <c r="F111" i="1"/>
  <c r="F110" i="1"/>
  <c r="F70" i="1"/>
  <c r="F69" i="1"/>
  <c r="F68" i="1"/>
  <c r="F67" i="1"/>
  <c r="F66" i="1"/>
  <c r="F65" i="1"/>
  <c r="F64" i="1"/>
  <c r="F63" i="1"/>
  <c r="F62" i="1"/>
  <c r="F61" i="1"/>
  <c r="F6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59" i="1"/>
  <c r="F58" i="1"/>
  <c r="F57" i="1"/>
  <c r="F56" i="1"/>
  <c r="F55" i="1"/>
  <c r="F54" i="1"/>
  <c r="F53" i="1"/>
  <c r="F52" i="1"/>
  <c r="F51" i="1"/>
  <c r="F50" i="1"/>
  <c r="F49" i="1"/>
  <c r="F48" i="1"/>
  <c r="F47" i="1"/>
  <c r="F46" i="1"/>
  <c r="F45" i="1"/>
  <c r="F44" i="1"/>
  <c r="F43" i="1"/>
  <c r="F42" i="1"/>
  <c r="F41" i="1"/>
  <c r="F40" i="1"/>
</calcChain>
</file>

<file path=xl/sharedStrings.xml><?xml version="1.0" encoding="utf-8"?>
<sst xmlns="http://schemas.openxmlformats.org/spreadsheetml/2006/main" count="260" uniqueCount="140">
  <si>
    <t>cod</t>
  </si>
  <si>
    <t>texto</t>
  </si>
  <si>
    <t>Briefly comment on relevant information about the Bank, coverage and presence in the mentioned markets, key milestones, and recognitions.</t>
  </si>
  <si>
    <t>Bank Background: Describe your global/regional coverage, branch presence and number of years present in each country in scope of this RFP. Provide key indicators of your bank's financial strength and a list of awards or certifications that your bank has received in our region during the last years.</t>
  </si>
  <si>
    <t>Bank Presence in the Region</t>
  </si>
  <si>
    <t>How long has the bank been operating in each country and plans for the future?</t>
  </si>
  <si>
    <t>The main business areas the bank is involved with in these countries</t>
  </si>
  <si>
    <t>The key customer segments the bank targets &amp; differences between these segments</t>
  </si>
  <si>
    <t>Please provide a brief overview of the bank's strategy as it relates to transaction services in LatAm.</t>
  </si>
  <si>
    <t>Detail the nature of your presence in LatAm, i.e. full-service branch, representative office or partner bank. Where partner banks are involved, what services are these banks covering?</t>
  </si>
  <si>
    <t>What is in your view your unique selling point that differentiates you from other banks?</t>
  </si>
  <si>
    <t>LatAm's regulatory environment is ever evolving. How can the bank help S+N take advantage of the opportunities from changes in regulation from the regulatory bodies in order to achieve business and treasury objectives?</t>
  </si>
  <si>
    <t>Describe your scope in the collection service within the local market</t>
  </si>
  <si>
    <t>If a partner bank is utilized for collections, describe how the funds are swept (concentrated) back to your bank, highlighting cut-off times. Specify if there are any funds left in the partner bank's accounts.</t>
  </si>
  <si>
    <t>Details of the products/solutions by receivable type</t>
  </si>
  <si>
    <t>Details of the receivable information the bank will be able to process</t>
  </si>
  <si>
    <t>Details of how the receivable information will be processed through the communication structure in BHP's systems.</t>
  </si>
  <si>
    <t>Describe your paper-based and electronic-based collection capabilities in LatAm.</t>
  </si>
  <si>
    <t>Please outline how your solution can support and improve our receivable management process, including automation in information management.</t>
  </si>
  <si>
    <t>Do you offer any accounts receivable reconciliation services?</t>
  </si>
  <si>
    <t>Provide a proposed account structure aimed at optimizing liquidity and reducing costs</t>
  </si>
  <si>
    <t>Confirm your ability to provide monthly domestic pool bank statements, including detailed daily sweeping transactions and interest calculations. Can these statements be automatically delivered via email in alignment with Disney's financial calendar to meet tax reporting requirements? If this is not feasible, describe your proposed process for retrieving such statements on a monthly basis.</t>
  </si>
  <si>
    <t>What are the regulatory cash-pooling possibilities for each country?</t>
  </si>
  <si>
    <t>If the country allows cross-border cash pooling, please list the currencies your bank support sweeps on an end-of-day basis.</t>
  </si>
  <si>
    <t>What are the considerations in choosing a pooling/cash concentration location?</t>
  </si>
  <si>
    <t>Local Currency - Please list the currencies your bank support cross-border sweeps on an end of day basis.</t>
  </si>
  <si>
    <t>Do you offer AI-driven cash flow forecasting for treasury teams?</t>
  </si>
  <si>
    <t>Do you provide AI-based liquidity forecasting solutions?</t>
  </si>
  <si>
    <t>Do you provide AI-powered fraud detection in transactional banking?</t>
  </si>
  <si>
    <t>Do you provide AI-based invoice and receivables reconciliation solutions?</t>
  </si>
  <si>
    <t>Under contingency scenarios, indicate the procedure and the Bank’s support for restoring the service.</t>
  </si>
  <si>
    <t>In the past 12 months, was your system or part of your system unavailable at any time other than for planned maintenance? If yes, describe what was impacted and for how long and how soon was this communicated to the client?</t>
  </si>
  <si>
    <t>Is a formal contingency plan in place in the event of unavailability or disaster at your bank's primary processing site (please indicate location)? If yes, please describe this plan. When was the plan last updated and tested?</t>
  </si>
  <si>
    <t>If Disney experiences systems issues, describe the backup means available to us if we are unable to access either SWIFT or your online banking portal (for example, are manual letters of instruction with call backs an option).</t>
  </si>
  <si>
    <t>How does your bank identify duplicate payments? What fields need to be identical for a payment to be considered a duplicate, and what is your protocol for handling these?</t>
  </si>
  <si>
    <t>Share with us highlights of your bank's fraud prevention protocols that help prevent unauthorized payments from our bank accounts.</t>
  </si>
  <si>
    <t>Highlight the key areas of your recommended solution that will help S+N identify, manage or mitigate risks, such as counterparty and operational risk.</t>
  </si>
  <si>
    <t>Please specify the timing and set schedule of system downtime for maintenance and updates. Do these downtimes ever happen on working days? Please specify.</t>
  </si>
  <si>
    <t>How often are your disaster recovery procedures tested?</t>
  </si>
  <si>
    <t>Have disaster recovery procedures ever been implemented for a real disaster?</t>
  </si>
  <si>
    <t>Please describe the implementation steps for the bank account and cash pooling structure. Please include in your answer the proposed resources (include names, qualifications, and experiences) from the bank that will support this implementation; people will be dedicated to Disney throughout the project.</t>
  </si>
  <si>
    <t>Provide copy or pro-forma of all agreements that will be required to initiate services, account opening and transfer forms. Electronic reporting agreements, set off agreements and pooling arrangements (where appropriate).</t>
  </si>
  <si>
    <t>Does the bank provide technical support for hardware, software, and communication problems? Is support documentation for the systems available?</t>
  </si>
  <si>
    <t>Based on your bank's experience from completion of implementation projects of a similar scope and nature, do provide a draft project plan detailing anticipated timelines for the project, key milestones, and dependencies.</t>
  </si>
  <si>
    <t>What resources (function and number) from Disney should be made available during the implementation? Please specify their responsibilities for the given function and time commitment anticipated.</t>
  </si>
  <si>
    <t>Please describe your post implementation services.</t>
  </si>
  <si>
    <t>In what languages are user manuals available?</t>
  </si>
  <si>
    <t>Please detail the end-user training programs that you offer and the recommended facilities that you would utilize to conduct training.</t>
  </si>
  <si>
    <t>Will there be a dedicated implementation team assigned to Smith+Nephew?</t>
  </si>
  <si>
    <t>Provide the role profile of a typical Implementation Manager who will manage the project.</t>
  </si>
  <si>
    <t>Describe the customer service structure and escalation levels; specify whether it is handled through a centralized account manager or depends on the account’s branch, including the resolution capabilities of this team. If customer service is decentralized, indicate the countries involved and any differences in time zones and language. Also specify the available communication channels and service hours.</t>
  </si>
  <si>
    <t>Please describe your bank's customer service organization structure. Please make a distinction between customer service for the central processes and the local Operating Companies.</t>
  </si>
  <si>
    <t>Does your bank have standard response times for standard issues affecting our operations? If so, please state them.</t>
  </si>
  <si>
    <t>The local Operating Companies require a single point of contact (local language and/or English/Spanish). Please confirm your bank can support this. Where will the customer service team(s) be located?</t>
  </si>
  <si>
    <t>Please provide issue escalation process with contact person information in each in-scope country and regional contact as we proposed single point-of-contact framework.</t>
  </si>
  <si>
    <t>What are the hours for the customer service desk and indicate whether these hours differ by country. Note that our LATAM Treasury as well as local office staff may need to utilize this customer service desk. Do queries roll over between shifts?</t>
  </si>
  <si>
    <t>Disney wants to track service levels that are agreed. Please provide us with sample reports that you provide to your clients such as turnaround time for response and resolution to query, number of days outstanding, etc.</t>
  </si>
  <si>
    <t>What is the bank's process for Customer Service reviews? How does the bank measure customer satisfaction?</t>
  </si>
  <si>
    <t>Describe the responsibilities of each representative, and the chain of command and escalation procedure.</t>
  </si>
  <si>
    <t>Please comment on long term strategy of your bank regarding cash management services.</t>
  </si>
  <si>
    <t>How does your bank provide regulatory updates which are applicable for your clients?</t>
  </si>
  <si>
    <t>Discuss the factors that differentiate your service from that of other providers (including new offerings, future developments etc.).</t>
  </si>
  <si>
    <t>What is the bank's current strategy towards cash management? How stable is the bank presence in the country in scope of this RFP?</t>
  </si>
  <si>
    <t>Please describe recent innovations in Cash management at our bank and how these can benefit our business model.</t>
  </si>
  <si>
    <t>How does your bank leverage data analytics, AI, or predictive tools in cash management and payments?</t>
  </si>
  <si>
    <t>Describe any emerging technologies in cash management, such as blockchain, AI, and machine learning.</t>
  </si>
  <si>
    <t>Please briefly describe your innovation and digital strategy.</t>
  </si>
  <si>
    <t>Please describe any recent or future planned innovations/enhanced functionality that you can offer the company.</t>
  </si>
  <si>
    <t>Please describe any recent or future use of AI to improve operations or daily activities.</t>
  </si>
  <si>
    <t>Please provide details of on-shore and off-shore investment options for local cash, such as Time Deposit, Money Market Funds, etc and indicative rates and minimum amount requirements. Please detail the types of investments and the process, if its automatic investment, per request based and liquidity options.</t>
  </si>
  <si>
    <t>Are there differences in cutoff times for payments initiated manually via EB vs. those sent via SWIFT?</t>
  </si>
  <si>
    <t>What bank connectivity solutions do you recommend for ADM?</t>
  </si>
  <si>
    <t>Identify your supported connectivity channels (e.g., SWIFT, SFTP, API).</t>
  </si>
  <si>
    <t>What XML versions are supported for all payment types?</t>
  </si>
  <si>
    <t>Can your bank process mixed payment files containing different payment types, currencies, and accounts?</t>
  </si>
  <si>
    <t>Does your bank provide Customer Payment Status Report (pain.002)?</t>
  </si>
  <si>
    <t>Describe your duplicate payment handling controls and exception management processes. Does your solution include interface and data transfer controls to detect data loss or corruption?</t>
  </si>
  <si>
    <t>When does the Bank assume ownership and liability for payment files or messages sent?</t>
  </si>
  <si>
    <t>Are MT940 statements sent via SWIFT FileAct by account or in bulk?</t>
  </si>
  <si>
    <t>Detail the timing of account reporting for both in-bank and third-party accounts, also clarifying whether EBICS and SWIFT can be used together.</t>
  </si>
  <si>
    <t>What TEST environments are available, and do they support Bank-to-Customer Reporting?</t>
  </si>
  <si>
    <t>Can users independently create, submit, and run projects in the test environment without bank approval? Additionally, does the test environment offer comprehensive reporting capabilities, with automatic email notifications for test results?</t>
  </si>
  <si>
    <t>Does your platform allow for automatic scheduling of all statements &amp; reports?</t>
  </si>
  <si>
    <t>What options are available to obtain detailed real-time balance and transaction information and its limitations?</t>
  </si>
  <si>
    <t>Describe the reporting services you can offer for ADM such as account confirmation certificates etc.</t>
  </si>
  <si>
    <t>Can reporting be fully configured by ADM? Such as consolidated reporting in a base currency.</t>
  </si>
  <si>
    <t>How far is historical account information available for us to retrieve through your EBS?</t>
  </si>
  <si>
    <t>Can reports be sent to external email addresses?</t>
  </si>
  <si>
    <t>Can you provide both consolidated and itemize reporting for a batch payment file with audit details?</t>
  </si>
  <si>
    <t>Do you provide both balance ledger and available information?</t>
  </si>
  <si>
    <t>Describe your paper-based and electronic payment capabilities.</t>
  </si>
  <si>
    <t>How do you support local payment regulations and requirements?</t>
  </si>
  <si>
    <t>Does your bank offer automated supplier payment notifications (e.g., QR codes, email alerts)?</t>
  </si>
  <si>
    <t>Describe your bulk, low-value payments solution (e.g., payroll, intercompany settlements).</t>
  </si>
  <si>
    <t>How does your solution ensure sufficient remittance information accompanies payments for easy identification and reconciliation?</t>
  </si>
  <si>
    <t>What alternative solutions do you offer for non-standard cross-border settlements requiring detailed payment references (e.g., 'for further credit to...' instructions)?</t>
  </si>
  <si>
    <t>Provide a list of countries where your bank cannot support supplier payments.</t>
  </si>
  <si>
    <t>What is your process for cancelling or amending payments after transmission?</t>
  </si>
  <si>
    <t>Can users add custom fields to initiated payments within the EBS? How many fields can be added, and is file attachment support included with size limitations?</t>
  </si>
  <si>
    <t>Does your payments portal support STP authorization? What other authorization options are available?</t>
  </si>
  <si>
    <t>How are SSIs managed within your eBanking System (EBS)? What options are available for clients who require stricter limitations?</t>
  </si>
  <si>
    <t>How does your EB platform handle:</t>
  </si>
  <si>
    <t>Do you offer an online platform for opening or closing bank accounts?</t>
  </si>
  <si>
    <t>Is there a tool available within the EBS to manage, update, and block signers?</t>
  </si>
  <si>
    <t>What are the platform's accessible hours (please specify time zones)?</t>
  </si>
  <si>
    <t>How does your EBS manage both central and local administrative access?</t>
  </si>
  <si>
    <t>Is KYC verification available through the EBS? If not, what alternative electronic solutions do you provide?</t>
  </si>
  <si>
    <t>Can users access all bank accounts for in-scope subsidiaries through a single platform or login?</t>
  </si>
  <si>
    <t>Can you provide an online overview or demo of your EBS for internal stakeholders? A live demonstration may be requested if your bank is shortlisted in the tender process.</t>
  </si>
  <si>
    <t>Describe your cross-border payments solutions. How will you support regulatory reporting requirements (if required)?</t>
  </si>
  <si>
    <t>Do you have paperless solutions to perform supporting documents validation of cross-border payments?</t>
  </si>
  <si>
    <t>Do you have any simplification solution to simplify supporting documents validation of cross-border payments?</t>
  </si>
  <si>
    <t>At what point is the FX rate set (at initiation of the payment or release)?</t>
  </si>
  <si>
    <t>How are rates determined? Does your bank offer competitive FX rates taking into account the global relationship of the client?</t>
  </si>
  <si>
    <t>Please list the reference rates, margins and calculations used for cross-currency payments.</t>
  </si>
  <si>
    <t>What document delivery methods can your bank accept for general account services (bank account opening, KYC, mandates e.g. Hard copy, scanned copy via email, e-signatures platforms)?</t>
  </si>
  <si>
    <t>How long does an account opening process incl. KYC take after submission of all documents (days)?</t>
  </si>
  <si>
    <t>A clear list of all documentation required by the bank is to be provided, to: initiate the business relationship and to open bank accounts.</t>
  </si>
  <si>
    <t>Please list all the agreements that will be required to initiate services and perform the KYC process, highlighting any areas where this is not standardized across the relationship.</t>
  </si>
  <si>
    <t>Please describe how the bank will help to facilitate the documentation process and how you will guide S+N through this.</t>
  </si>
  <si>
    <t>How will the bank facilitate ongoing KYC requirements?</t>
  </si>
  <si>
    <t>Will the bank support us with pre-filling account opening documentation and facilitate this through the implementation team?</t>
  </si>
  <si>
    <t>Specify any solutions to make documentation more efficient (e.g. e-signatures, etc.)</t>
  </si>
  <si>
    <t>Account opening requirements for each country in scope</t>
  </si>
  <si>
    <t>Are wet signatures mandatory, or are digital signatures allowed</t>
  </si>
  <si>
    <t>carpeta</t>
  </si>
  <si>
    <t>3 - nexus</t>
  </si>
  <si>
    <t>4 - continuidad de negocio</t>
  </si>
  <si>
    <t>5 - innovación</t>
  </si>
  <si>
    <t>categoria_original</t>
  </si>
  <si>
    <t>1 - santander</t>
  </si>
  <si>
    <t>2 - coremarkets</t>
  </si>
  <si>
    <t>7 - Liquidity management</t>
  </si>
  <si>
    <t>nombre_carpeta</t>
  </si>
  <si>
    <t>2 nexus hub</t>
  </si>
  <si>
    <t>3 nexus information center</t>
  </si>
  <si>
    <t>2 nexus hub o 3 nexus global portal</t>
  </si>
  <si>
    <t>3 nexus global portal</t>
  </si>
  <si>
    <t>4 client service &amp; implementation</t>
  </si>
  <si>
    <t>subcarpeta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</si>
</sst>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5"/>
  <sheetViews>
    <sheetView tabSelected="1" zoomScale="150" workbookViewId="0">
      <selection activeCell="B16" sqref="B16"/>
    </sheetView>
  </sheetViews>
  <sheetFormatPr baseColWidth="10" defaultColWidth="8.83203125" defaultRowHeight="15" x14ac:dyDescent="0.2"/>
  <cols>
    <col min="2" max="2" width="124.33203125" customWidth="1"/>
    <col min="3" max="3" width="14.33203125" customWidth="1"/>
    <col min="5" max="5" width="21.6640625" bestFit="1" customWidth="1"/>
  </cols>
  <sheetData>
    <row r="1" spans="1:6" x14ac:dyDescent="0.2">
      <c r="A1" s="1" t="s">
        <v>0</v>
      </c>
      <c r="B1" s="1" t="s">
        <v>1</v>
      </c>
      <c r="C1" s="1" t="s">
        <v>129</v>
      </c>
      <c r="D1" s="2" t="s">
        <v>125</v>
      </c>
      <c r="E1" s="2" t="s">
        <v>133</v>
      </c>
      <c r="F1" s="3" t="s">
        <v>139</v>
      </c>
    </row>
    <row r="2" spans="1:6" x14ac:dyDescent="0.2">
      <c r="A2">
        <v>1</v>
      </c>
      <c r="B2" t="s">
        <v>2</v>
      </c>
      <c r="C2">
        <v>1</v>
      </c>
      <c r="D2">
        <v>5</v>
      </c>
      <c r="E2" t="s">
        <v>130</v>
      </c>
      <c r="F2" t="str">
        <f>E2</f>
        <v>1 - santander</v>
      </c>
    </row>
    <row r="3" spans="1:6" x14ac:dyDescent="0.2">
      <c r="A3">
        <v>2</v>
      </c>
      <c r="B3" t="s">
        <v>3</v>
      </c>
      <c r="C3">
        <v>1</v>
      </c>
      <c r="D3">
        <v>5</v>
      </c>
      <c r="E3" t="s">
        <v>130</v>
      </c>
      <c r="F3" t="str">
        <f t="shared" ref="F3:F39" si="0">E3</f>
        <v>1 - santander</v>
      </c>
    </row>
    <row r="4" spans="1:6" x14ac:dyDescent="0.2">
      <c r="A4">
        <v>3</v>
      </c>
      <c r="B4" t="s">
        <v>4</v>
      </c>
      <c r="C4">
        <v>1</v>
      </c>
      <c r="D4">
        <v>5</v>
      </c>
      <c r="E4" t="s">
        <v>130</v>
      </c>
      <c r="F4" t="str">
        <f t="shared" si="0"/>
        <v>1 - santander</v>
      </c>
    </row>
    <row r="5" spans="1:6" x14ac:dyDescent="0.2">
      <c r="A5">
        <v>4</v>
      </c>
      <c r="B5" t="s">
        <v>5</v>
      </c>
      <c r="C5">
        <v>1</v>
      </c>
      <c r="D5">
        <v>5</v>
      </c>
      <c r="E5" t="s">
        <v>130</v>
      </c>
      <c r="F5" t="str">
        <f t="shared" si="0"/>
        <v>1 - santander</v>
      </c>
    </row>
    <row r="6" spans="1:6" x14ac:dyDescent="0.2">
      <c r="A6">
        <v>5</v>
      </c>
      <c r="B6" t="s">
        <v>6</v>
      </c>
      <c r="C6">
        <v>1</v>
      </c>
      <c r="D6">
        <v>5</v>
      </c>
      <c r="E6" t="s">
        <v>130</v>
      </c>
      <c r="F6" t="str">
        <f t="shared" si="0"/>
        <v>1 - santander</v>
      </c>
    </row>
    <row r="7" spans="1:6" x14ac:dyDescent="0.2">
      <c r="A7">
        <v>6</v>
      </c>
      <c r="B7" t="s">
        <v>7</v>
      </c>
      <c r="C7">
        <v>1</v>
      </c>
      <c r="D7">
        <v>5</v>
      </c>
      <c r="E7" t="s">
        <v>130</v>
      </c>
      <c r="F7" t="str">
        <f t="shared" si="0"/>
        <v>1 - santander</v>
      </c>
    </row>
    <row r="8" spans="1:6" x14ac:dyDescent="0.2">
      <c r="A8">
        <v>7</v>
      </c>
      <c r="B8" t="s">
        <v>8</v>
      </c>
      <c r="C8">
        <v>1</v>
      </c>
      <c r="D8">
        <v>5</v>
      </c>
      <c r="E8" t="s">
        <v>130</v>
      </c>
      <c r="F8" t="str">
        <f t="shared" si="0"/>
        <v>1 - santander</v>
      </c>
    </row>
    <row r="9" spans="1:6" x14ac:dyDescent="0.2">
      <c r="A9">
        <v>8</v>
      </c>
      <c r="B9" t="s">
        <v>9</v>
      </c>
      <c r="C9">
        <v>1</v>
      </c>
      <c r="D9">
        <v>5</v>
      </c>
      <c r="E9" t="s">
        <v>130</v>
      </c>
      <c r="F9" t="str">
        <f t="shared" si="0"/>
        <v>1 - santander</v>
      </c>
    </row>
    <row r="10" spans="1:6" x14ac:dyDescent="0.2">
      <c r="A10">
        <v>9</v>
      </c>
      <c r="B10" t="s">
        <v>10</v>
      </c>
      <c r="C10">
        <v>1</v>
      </c>
      <c r="D10">
        <v>5</v>
      </c>
      <c r="E10" t="s">
        <v>130</v>
      </c>
      <c r="F10" t="str">
        <f t="shared" si="0"/>
        <v>1 - santander</v>
      </c>
    </row>
    <row r="11" spans="1:6" x14ac:dyDescent="0.2">
      <c r="A11">
        <v>10</v>
      </c>
      <c r="B11" t="s">
        <v>11</v>
      </c>
      <c r="C11">
        <v>1</v>
      </c>
      <c r="D11">
        <v>5</v>
      </c>
      <c r="E11" t="s">
        <v>130</v>
      </c>
      <c r="F11" t="str">
        <f t="shared" si="0"/>
        <v>1 - santander</v>
      </c>
    </row>
    <row r="12" spans="1:6" x14ac:dyDescent="0.2">
      <c r="A12">
        <v>11</v>
      </c>
      <c r="B12" t="s">
        <v>12</v>
      </c>
      <c r="C12">
        <v>5</v>
      </c>
      <c r="D12">
        <v>6</v>
      </c>
      <c r="E12" t="s">
        <v>131</v>
      </c>
      <c r="F12" t="str">
        <f t="shared" si="0"/>
        <v>2 - coremarkets</v>
      </c>
    </row>
    <row r="13" spans="1:6" x14ac:dyDescent="0.2">
      <c r="A13">
        <v>12</v>
      </c>
      <c r="B13" t="s">
        <v>13</v>
      </c>
      <c r="C13">
        <v>5</v>
      </c>
      <c r="D13">
        <v>6</v>
      </c>
      <c r="E13" t="s">
        <v>131</v>
      </c>
      <c r="F13" t="str">
        <f t="shared" si="0"/>
        <v>2 - coremarkets</v>
      </c>
    </row>
    <row r="14" spans="1:6" x14ac:dyDescent="0.2">
      <c r="A14">
        <v>13</v>
      </c>
      <c r="B14" t="s">
        <v>14</v>
      </c>
      <c r="C14">
        <v>5</v>
      </c>
      <c r="D14">
        <v>6</v>
      </c>
      <c r="E14" t="s">
        <v>131</v>
      </c>
      <c r="F14" t="str">
        <f t="shared" si="0"/>
        <v>2 - coremarkets</v>
      </c>
    </row>
    <row r="15" spans="1:6" x14ac:dyDescent="0.2">
      <c r="A15">
        <v>14</v>
      </c>
      <c r="B15" t="s">
        <v>15</v>
      </c>
      <c r="C15">
        <v>5</v>
      </c>
      <c r="D15">
        <v>6</v>
      </c>
      <c r="E15" t="s">
        <v>131</v>
      </c>
      <c r="F15" t="str">
        <f t="shared" si="0"/>
        <v>2 - coremarkets</v>
      </c>
    </row>
    <row r="16" spans="1:6" x14ac:dyDescent="0.2">
      <c r="A16">
        <v>15</v>
      </c>
      <c r="B16" t="s">
        <v>16</v>
      </c>
      <c r="C16">
        <v>5</v>
      </c>
      <c r="D16">
        <v>6</v>
      </c>
      <c r="E16" t="s">
        <v>131</v>
      </c>
      <c r="F16" t="str">
        <f t="shared" si="0"/>
        <v>2 - coremarkets</v>
      </c>
    </row>
    <row r="17" spans="1:6" x14ac:dyDescent="0.2">
      <c r="A17">
        <v>16</v>
      </c>
      <c r="B17" t="s">
        <v>17</v>
      </c>
      <c r="C17">
        <v>5</v>
      </c>
      <c r="D17">
        <v>6</v>
      </c>
      <c r="E17" t="s">
        <v>131</v>
      </c>
      <c r="F17" t="str">
        <f t="shared" si="0"/>
        <v>2 - coremarkets</v>
      </c>
    </row>
    <row r="18" spans="1:6" x14ac:dyDescent="0.2">
      <c r="A18">
        <v>17</v>
      </c>
      <c r="B18" t="s">
        <v>18</v>
      </c>
      <c r="C18">
        <v>5</v>
      </c>
      <c r="D18">
        <v>6</v>
      </c>
      <c r="E18" t="s">
        <v>131</v>
      </c>
      <c r="F18" t="str">
        <f t="shared" si="0"/>
        <v>2 - coremarkets</v>
      </c>
    </row>
    <row r="19" spans="1:6" x14ac:dyDescent="0.2">
      <c r="A19">
        <v>18</v>
      </c>
      <c r="B19" t="s">
        <v>19</v>
      </c>
      <c r="C19">
        <v>5</v>
      </c>
      <c r="D19">
        <v>6</v>
      </c>
      <c r="E19" t="s">
        <v>131</v>
      </c>
      <c r="F19" t="str">
        <f t="shared" si="0"/>
        <v>2 - coremarkets</v>
      </c>
    </row>
    <row r="20" spans="1:6" x14ac:dyDescent="0.2">
      <c r="A20">
        <v>19</v>
      </c>
      <c r="B20" t="s">
        <v>20</v>
      </c>
      <c r="C20">
        <v>7</v>
      </c>
      <c r="D20">
        <v>2</v>
      </c>
      <c r="E20" t="s">
        <v>132</v>
      </c>
      <c r="F20" t="str">
        <f t="shared" si="0"/>
        <v>7 - Liquidity management</v>
      </c>
    </row>
    <row r="21" spans="1:6" x14ac:dyDescent="0.2">
      <c r="A21">
        <v>20</v>
      </c>
      <c r="B21" t="s">
        <v>21</v>
      </c>
      <c r="C21">
        <v>7</v>
      </c>
      <c r="D21">
        <v>2</v>
      </c>
      <c r="E21" t="s">
        <v>132</v>
      </c>
      <c r="F21" t="str">
        <f t="shared" si="0"/>
        <v>7 - Liquidity management</v>
      </c>
    </row>
    <row r="22" spans="1:6" x14ac:dyDescent="0.2">
      <c r="A22">
        <v>21</v>
      </c>
      <c r="B22" t="s">
        <v>22</v>
      </c>
      <c r="C22">
        <v>7</v>
      </c>
      <c r="D22">
        <v>2</v>
      </c>
      <c r="E22" t="s">
        <v>132</v>
      </c>
      <c r="F22" t="str">
        <f t="shared" si="0"/>
        <v>7 - Liquidity management</v>
      </c>
    </row>
    <row r="23" spans="1:6" x14ac:dyDescent="0.2">
      <c r="A23">
        <v>22</v>
      </c>
      <c r="B23" t="s">
        <v>23</v>
      </c>
      <c r="C23">
        <v>7</v>
      </c>
      <c r="D23">
        <v>2</v>
      </c>
      <c r="E23" t="s">
        <v>132</v>
      </c>
      <c r="F23" t="str">
        <f t="shared" si="0"/>
        <v>7 - Liquidity management</v>
      </c>
    </row>
    <row r="24" spans="1:6" x14ac:dyDescent="0.2">
      <c r="A24">
        <v>23</v>
      </c>
      <c r="B24" t="s">
        <v>24</v>
      </c>
      <c r="C24">
        <v>7</v>
      </c>
      <c r="D24">
        <v>2</v>
      </c>
      <c r="E24" t="s">
        <v>132</v>
      </c>
      <c r="F24" t="str">
        <f t="shared" si="0"/>
        <v>7 - Liquidity management</v>
      </c>
    </row>
    <row r="25" spans="1:6" x14ac:dyDescent="0.2">
      <c r="A25">
        <v>24</v>
      </c>
      <c r="B25" t="s">
        <v>25</v>
      </c>
      <c r="C25">
        <v>7</v>
      </c>
      <c r="D25">
        <v>2</v>
      </c>
      <c r="E25" t="s">
        <v>132</v>
      </c>
      <c r="F25" t="str">
        <f t="shared" si="0"/>
        <v>7 - Liquidity management</v>
      </c>
    </row>
    <row r="26" spans="1:6" x14ac:dyDescent="0.2">
      <c r="A26">
        <v>25</v>
      </c>
      <c r="B26" t="s">
        <v>26</v>
      </c>
      <c r="C26">
        <v>8</v>
      </c>
      <c r="D26">
        <v>2</v>
      </c>
      <c r="E26" t="s">
        <v>132</v>
      </c>
      <c r="F26" t="str">
        <f t="shared" si="0"/>
        <v>7 - Liquidity management</v>
      </c>
    </row>
    <row r="27" spans="1:6" x14ac:dyDescent="0.2">
      <c r="A27">
        <v>26</v>
      </c>
      <c r="B27" t="s">
        <v>27</v>
      </c>
      <c r="C27">
        <v>8</v>
      </c>
      <c r="D27">
        <v>2</v>
      </c>
      <c r="E27" t="s">
        <v>132</v>
      </c>
      <c r="F27" t="str">
        <f t="shared" si="0"/>
        <v>7 - Liquidity management</v>
      </c>
    </row>
    <row r="28" spans="1:6" x14ac:dyDescent="0.2">
      <c r="A28">
        <v>27</v>
      </c>
      <c r="B28" t="s">
        <v>28</v>
      </c>
      <c r="C28">
        <v>8</v>
      </c>
      <c r="D28">
        <v>2</v>
      </c>
      <c r="E28" t="s">
        <v>132</v>
      </c>
      <c r="F28" t="str">
        <f t="shared" si="0"/>
        <v>7 - Liquidity management</v>
      </c>
    </row>
    <row r="29" spans="1:6" x14ac:dyDescent="0.2">
      <c r="A29">
        <v>28</v>
      </c>
      <c r="B29" t="s">
        <v>29</v>
      </c>
      <c r="C29">
        <v>8</v>
      </c>
      <c r="D29">
        <v>2</v>
      </c>
      <c r="E29" t="s">
        <v>132</v>
      </c>
      <c r="F29" t="str">
        <f t="shared" si="0"/>
        <v>7 - Liquidity management</v>
      </c>
    </row>
    <row r="30" spans="1:6" x14ac:dyDescent="0.2">
      <c r="A30">
        <v>29</v>
      </c>
      <c r="B30" t="s">
        <v>30</v>
      </c>
      <c r="C30">
        <v>10</v>
      </c>
      <c r="D30">
        <v>3</v>
      </c>
      <c r="E30" t="s">
        <v>127</v>
      </c>
      <c r="F30" t="str">
        <f t="shared" si="0"/>
        <v>4 - continuidad de negocio</v>
      </c>
    </row>
    <row r="31" spans="1:6" x14ac:dyDescent="0.2">
      <c r="A31">
        <v>30</v>
      </c>
      <c r="B31" t="s">
        <v>31</v>
      </c>
      <c r="C31">
        <v>10</v>
      </c>
      <c r="D31">
        <v>3</v>
      </c>
      <c r="E31" t="s">
        <v>127</v>
      </c>
      <c r="F31" t="str">
        <f t="shared" si="0"/>
        <v>4 - continuidad de negocio</v>
      </c>
    </row>
    <row r="32" spans="1:6" x14ac:dyDescent="0.2">
      <c r="A32">
        <v>31</v>
      </c>
      <c r="B32" t="s">
        <v>32</v>
      </c>
      <c r="C32">
        <v>10</v>
      </c>
      <c r="D32">
        <v>3</v>
      </c>
      <c r="E32" t="s">
        <v>127</v>
      </c>
      <c r="F32" t="str">
        <f t="shared" si="0"/>
        <v>4 - continuidad de negocio</v>
      </c>
    </row>
    <row r="33" spans="1:6" x14ac:dyDescent="0.2">
      <c r="A33">
        <v>32</v>
      </c>
      <c r="B33" t="s">
        <v>33</v>
      </c>
      <c r="C33">
        <v>10</v>
      </c>
      <c r="D33">
        <v>3</v>
      </c>
      <c r="E33" t="s">
        <v>127</v>
      </c>
      <c r="F33" t="str">
        <f t="shared" si="0"/>
        <v>4 - continuidad de negocio</v>
      </c>
    </row>
    <row r="34" spans="1:6" x14ac:dyDescent="0.2">
      <c r="A34">
        <v>33</v>
      </c>
      <c r="B34" t="s">
        <v>34</v>
      </c>
      <c r="C34">
        <v>10</v>
      </c>
      <c r="D34">
        <v>3</v>
      </c>
      <c r="E34" t="s">
        <v>127</v>
      </c>
      <c r="F34" t="str">
        <f t="shared" si="0"/>
        <v>4 - continuidad de negocio</v>
      </c>
    </row>
    <row r="35" spans="1:6" x14ac:dyDescent="0.2">
      <c r="A35">
        <v>34</v>
      </c>
      <c r="B35" t="s">
        <v>35</v>
      </c>
      <c r="C35">
        <v>10</v>
      </c>
      <c r="D35">
        <v>3</v>
      </c>
      <c r="E35" t="s">
        <v>127</v>
      </c>
      <c r="F35" t="str">
        <f t="shared" si="0"/>
        <v>4 - continuidad de negocio</v>
      </c>
    </row>
    <row r="36" spans="1:6" x14ac:dyDescent="0.2">
      <c r="A36">
        <v>35</v>
      </c>
      <c r="B36" t="s">
        <v>36</v>
      </c>
      <c r="C36">
        <v>10</v>
      </c>
      <c r="D36">
        <v>3</v>
      </c>
      <c r="E36" t="s">
        <v>127</v>
      </c>
      <c r="F36" t="str">
        <f t="shared" si="0"/>
        <v>4 - continuidad de negocio</v>
      </c>
    </row>
    <row r="37" spans="1:6" x14ac:dyDescent="0.2">
      <c r="A37">
        <v>36</v>
      </c>
      <c r="B37" t="s">
        <v>37</v>
      </c>
      <c r="C37">
        <v>10</v>
      </c>
      <c r="D37">
        <v>3</v>
      </c>
      <c r="E37" t="s">
        <v>127</v>
      </c>
      <c r="F37" t="str">
        <f t="shared" si="0"/>
        <v>4 - continuidad de negocio</v>
      </c>
    </row>
    <row r="38" spans="1:6" x14ac:dyDescent="0.2">
      <c r="A38">
        <v>37</v>
      </c>
      <c r="B38" t="s">
        <v>38</v>
      </c>
      <c r="C38">
        <v>10</v>
      </c>
      <c r="D38">
        <v>3</v>
      </c>
      <c r="E38" t="s">
        <v>127</v>
      </c>
      <c r="F38" t="str">
        <f t="shared" si="0"/>
        <v>4 - continuidad de negocio</v>
      </c>
    </row>
    <row r="39" spans="1:6" x14ac:dyDescent="0.2">
      <c r="A39">
        <v>38</v>
      </c>
      <c r="B39" t="s">
        <v>39</v>
      </c>
      <c r="C39">
        <v>10</v>
      </c>
      <c r="D39">
        <v>3</v>
      </c>
      <c r="E39" t="s">
        <v>127</v>
      </c>
      <c r="F39" t="str">
        <f t="shared" si="0"/>
        <v>4 - continuidad de negocio</v>
      </c>
    </row>
    <row r="40" spans="1:6" x14ac:dyDescent="0.2">
      <c r="A40">
        <v>39</v>
      </c>
      <c r="B40" t="s">
        <v>40</v>
      </c>
      <c r="C40">
        <v>11</v>
      </c>
      <c r="D40">
        <v>1</v>
      </c>
      <c r="E40" t="s">
        <v>126</v>
      </c>
      <c r="F40" t="str">
        <f>VLOOKUP(C40,Hoja1!A:B,2,0)</f>
        <v>4 client service &amp; implementation</v>
      </c>
    </row>
    <row r="41" spans="1:6" x14ac:dyDescent="0.2">
      <c r="A41">
        <v>40</v>
      </c>
      <c r="B41" t="s">
        <v>41</v>
      </c>
      <c r="C41">
        <v>11</v>
      </c>
      <c r="D41">
        <v>1</v>
      </c>
      <c r="E41" t="s">
        <v>126</v>
      </c>
      <c r="F41" t="str">
        <f>VLOOKUP(C41,Hoja1!A:B,2,0)</f>
        <v>4 client service &amp; implementation</v>
      </c>
    </row>
    <row r="42" spans="1:6" x14ac:dyDescent="0.2">
      <c r="A42">
        <v>41</v>
      </c>
      <c r="B42" t="s">
        <v>42</v>
      </c>
      <c r="C42">
        <v>11</v>
      </c>
      <c r="D42">
        <v>1</v>
      </c>
      <c r="E42" t="s">
        <v>126</v>
      </c>
      <c r="F42" t="str">
        <f>VLOOKUP(C42,Hoja1!A:B,2,0)</f>
        <v>4 client service &amp; implementation</v>
      </c>
    </row>
    <row r="43" spans="1:6" x14ac:dyDescent="0.2">
      <c r="A43">
        <v>42</v>
      </c>
      <c r="B43" t="s">
        <v>43</v>
      </c>
      <c r="C43">
        <v>11</v>
      </c>
      <c r="D43">
        <v>1</v>
      </c>
      <c r="E43" t="s">
        <v>126</v>
      </c>
      <c r="F43" t="str">
        <f>VLOOKUP(C43,Hoja1!A:B,2,0)</f>
        <v>4 client service &amp; implementation</v>
      </c>
    </row>
    <row r="44" spans="1:6" x14ac:dyDescent="0.2">
      <c r="A44">
        <v>43</v>
      </c>
      <c r="B44" t="s">
        <v>44</v>
      </c>
      <c r="C44">
        <v>11</v>
      </c>
      <c r="D44">
        <v>1</v>
      </c>
      <c r="E44" t="s">
        <v>126</v>
      </c>
      <c r="F44" t="str">
        <f>VLOOKUP(C44,Hoja1!A:B,2,0)</f>
        <v>4 client service &amp; implementation</v>
      </c>
    </row>
    <row r="45" spans="1:6" x14ac:dyDescent="0.2">
      <c r="A45">
        <v>44</v>
      </c>
      <c r="B45" t="s">
        <v>45</v>
      </c>
      <c r="C45">
        <v>11</v>
      </c>
      <c r="D45">
        <v>1</v>
      </c>
      <c r="E45" t="s">
        <v>126</v>
      </c>
      <c r="F45" t="str">
        <f>VLOOKUP(C45,Hoja1!A:B,2,0)</f>
        <v>4 client service &amp; implementation</v>
      </c>
    </row>
    <row r="46" spans="1:6" x14ac:dyDescent="0.2">
      <c r="A46">
        <v>45</v>
      </c>
      <c r="B46" t="s">
        <v>46</v>
      </c>
      <c r="C46">
        <v>11</v>
      </c>
      <c r="D46">
        <v>1</v>
      </c>
      <c r="E46" t="s">
        <v>126</v>
      </c>
      <c r="F46" t="str">
        <f>VLOOKUP(C46,Hoja1!A:B,2,0)</f>
        <v>4 client service &amp; implementation</v>
      </c>
    </row>
    <row r="47" spans="1:6" x14ac:dyDescent="0.2">
      <c r="A47">
        <v>46</v>
      </c>
      <c r="B47" t="s">
        <v>47</v>
      </c>
      <c r="C47">
        <v>11</v>
      </c>
      <c r="D47">
        <v>1</v>
      </c>
      <c r="E47" t="s">
        <v>126</v>
      </c>
      <c r="F47" t="str">
        <f>VLOOKUP(C47,Hoja1!A:B,2,0)</f>
        <v>4 client service &amp; implementation</v>
      </c>
    </row>
    <row r="48" spans="1:6" x14ac:dyDescent="0.2">
      <c r="A48">
        <v>47</v>
      </c>
      <c r="B48" t="s">
        <v>48</v>
      </c>
      <c r="C48">
        <v>11</v>
      </c>
      <c r="D48">
        <v>1</v>
      </c>
      <c r="E48" t="s">
        <v>126</v>
      </c>
      <c r="F48" t="str">
        <f>VLOOKUP(C48,Hoja1!A:B,2,0)</f>
        <v>4 client service &amp; implementation</v>
      </c>
    </row>
    <row r="49" spans="1:6" x14ac:dyDescent="0.2">
      <c r="A49">
        <v>48</v>
      </c>
      <c r="B49" t="s">
        <v>49</v>
      </c>
      <c r="C49">
        <v>11</v>
      </c>
      <c r="D49">
        <v>1</v>
      </c>
      <c r="E49" t="s">
        <v>126</v>
      </c>
      <c r="F49" t="str">
        <f>VLOOKUP(C49,Hoja1!A:B,2,0)</f>
        <v>4 client service &amp; implementation</v>
      </c>
    </row>
    <row r="50" spans="1:6" x14ac:dyDescent="0.2">
      <c r="A50">
        <v>49</v>
      </c>
      <c r="B50" t="s">
        <v>50</v>
      </c>
      <c r="C50">
        <v>11</v>
      </c>
      <c r="D50">
        <v>1</v>
      </c>
      <c r="E50" t="s">
        <v>126</v>
      </c>
      <c r="F50" t="str">
        <f>VLOOKUP(C50,Hoja1!A:B,2,0)</f>
        <v>4 client service &amp; implementation</v>
      </c>
    </row>
    <row r="51" spans="1:6" x14ac:dyDescent="0.2">
      <c r="A51">
        <v>50</v>
      </c>
      <c r="B51" t="s">
        <v>51</v>
      </c>
      <c r="C51">
        <v>11</v>
      </c>
      <c r="D51">
        <v>1</v>
      </c>
      <c r="E51" t="s">
        <v>126</v>
      </c>
      <c r="F51" t="str">
        <f>VLOOKUP(C51,Hoja1!A:B,2,0)</f>
        <v>4 client service &amp; implementation</v>
      </c>
    </row>
    <row r="52" spans="1:6" x14ac:dyDescent="0.2">
      <c r="A52">
        <v>51</v>
      </c>
      <c r="B52" t="s">
        <v>52</v>
      </c>
      <c r="C52">
        <v>11</v>
      </c>
      <c r="D52">
        <v>1</v>
      </c>
      <c r="E52" t="s">
        <v>126</v>
      </c>
      <c r="F52" t="str">
        <f>VLOOKUP(C52,Hoja1!A:B,2,0)</f>
        <v>4 client service &amp; implementation</v>
      </c>
    </row>
    <row r="53" spans="1:6" x14ac:dyDescent="0.2">
      <c r="A53">
        <v>52</v>
      </c>
      <c r="B53" t="s">
        <v>53</v>
      </c>
      <c r="C53">
        <v>11</v>
      </c>
      <c r="D53">
        <v>1</v>
      </c>
      <c r="E53" t="s">
        <v>126</v>
      </c>
      <c r="F53" t="str">
        <f>VLOOKUP(C53,Hoja1!A:B,2,0)</f>
        <v>4 client service &amp; implementation</v>
      </c>
    </row>
    <row r="54" spans="1:6" x14ac:dyDescent="0.2">
      <c r="A54">
        <v>53</v>
      </c>
      <c r="B54" t="s">
        <v>52</v>
      </c>
      <c r="C54">
        <v>11</v>
      </c>
      <c r="D54">
        <v>1</v>
      </c>
      <c r="E54" t="s">
        <v>126</v>
      </c>
      <c r="F54" t="str">
        <f>VLOOKUP(C54,Hoja1!A:B,2,0)</f>
        <v>4 client service &amp; implementation</v>
      </c>
    </row>
    <row r="55" spans="1:6" x14ac:dyDescent="0.2">
      <c r="A55">
        <v>54</v>
      </c>
      <c r="B55" t="s">
        <v>54</v>
      </c>
      <c r="C55">
        <v>11</v>
      </c>
      <c r="D55">
        <v>1</v>
      </c>
      <c r="E55" t="s">
        <v>126</v>
      </c>
      <c r="F55" t="str">
        <f>VLOOKUP(C55,Hoja1!A:B,2,0)</f>
        <v>4 client service &amp; implementation</v>
      </c>
    </row>
    <row r="56" spans="1:6" x14ac:dyDescent="0.2">
      <c r="A56">
        <v>55</v>
      </c>
      <c r="B56" t="s">
        <v>55</v>
      </c>
      <c r="C56">
        <v>11</v>
      </c>
      <c r="D56">
        <v>1</v>
      </c>
      <c r="E56" t="s">
        <v>126</v>
      </c>
      <c r="F56" t="str">
        <f>VLOOKUP(C56,Hoja1!A:B,2,0)</f>
        <v>4 client service &amp; implementation</v>
      </c>
    </row>
    <row r="57" spans="1:6" x14ac:dyDescent="0.2">
      <c r="A57">
        <v>56</v>
      </c>
      <c r="B57" t="s">
        <v>56</v>
      </c>
      <c r="C57">
        <v>11</v>
      </c>
      <c r="D57">
        <v>1</v>
      </c>
      <c r="E57" t="s">
        <v>126</v>
      </c>
      <c r="F57" t="str">
        <f>VLOOKUP(C57,Hoja1!A:B,2,0)</f>
        <v>4 client service &amp; implementation</v>
      </c>
    </row>
    <row r="58" spans="1:6" x14ac:dyDescent="0.2">
      <c r="A58">
        <v>57</v>
      </c>
      <c r="B58" t="s">
        <v>57</v>
      </c>
      <c r="C58">
        <v>11</v>
      </c>
      <c r="D58">
        <v>1</v>
      </c>
      <c r="E58" t="s">
        <v>126</v>
      </c>
      <c r="F58" t="str">
        <f>VLOOKUP(C58,Hoja1!A:B,2,0)</f>
        <v>4 client service &amp; implementation</v>
      </c>
    </row>
    <row r="59" spans="1:6" x14ac:dyDescent="0.2">
      <c r="A59">
        <v>58</v>
      </c>
      <c r="B59" t="s">
        <v>58</v>
      </c>
      <c r="C59">
        <v>11</v>
      </c>
      <c r="D59">
        <v>1</v>
      </c>
      <c r="E59" t="s">
        <v>126</v>
      </c>
      <c r="F59" t="str">
        <f>VLOOKUP(C59,Hoja1!A:B,2,0)</f>
        <v>4 client service &amp; implementation</v>
      </c>
    </row>
    <row r="60" spans="1:6" x14ac:dyDescent="0.2">
      <c r="A60">
        <v>59</v>
      </c>
      <c r="B60" t="s">
        <v>59</v>
      </c>
      <c r="C60">
        <v>12</v>
      </c>
      <c r="D60">
        <v>4</v>
      </c>
      <c r="E60" t="s">
        <v>128</v>
      </c>
      <c r="F60" t="str">
        <f t="shared" ref="F60:F70" si="1">E60</f>
        <v>5 - innovación</v>
      </c>
    </row>
    <row r="61" spans="1:6" x14ac:dyDescent="0.2">
      <c r="A61">
        <v>60</v>
      </c>
      <c r="B61" t="s">
        <v>60</v>
      </c>
      <c r="C61">
        <v>12</v>
      </c>
      <c r="D61">
        <v>4</v>
      </c>
      <c r="E61" t="s">
        <v>128</v>
      </c>
      <c r="F61" t="str">
        <f t="shared" si="1"/>
        <v>5 - innovación</v>
      </c>
    </row>
    <row r="62" spans="1:6" x14ac:dyDescent="0.2">
      <c r="A62">
        <v>61</v>
      </c>
      <c r="B62" t="s">
        <v>61</v>
      </c>
      <c r="C62">
        <v>12</v>
      </c>
      <c r="D62">
        <v>4</v>
      </c>
      <c r="E62" t="s">
        <v>128</v>
      </c>
      <c r="F62" t="str">
        <f t="shared" si="1"/>
        <v>5 - innovación</v>
      </c>
    </row>
    <row r="63" spans="1:6" x14ac:dyDescent="0.2">
      <c r="A63">
        <v>62</v>
      </c>
      <c r="B63" t="s">
        <v>62</v>
      </c>
      <c r="C63">
        <v>12</v>
      </c>
      <c r="D63">
        <v>4</v>
      </c>
      <c r="E63" t="s">
        <v>128</v>
      </c>
      <c r="F63" t="str">
        <f t="shared" si="1"/>
        <v>5 - innovación</v>
      </c>
    </row>
    <row r="64" spans="1:6" x14ac:dyDescent="0.2">
      <c r="A64">
        <v>63</v>
      </c>
      <c r="B64" t="s">
        <v>63</v>
      </c>
      <c r="C64">
        <v>12</v>
      </c>
      <c r="D64">
        <v>4</v>
      </c>
      <c r="E64" t="s">
        <v>128</v>
      </c>
      <c r="F64" t="str">
        <f t="shared" si="1"/>
        <v>5 - innovación</v>
      </c>
    </row>
    <row r="65" spans="1:6" x14ac:dyDescent="0.2">
      <c r="A65">
        <v>64</v>
      </c>
      <c r="B65" t="s">
        <v>64</v>
      </c>
      <c r="C65">
        <v>12</v>
      </c>
      <c r="D65">
        <v>4</v>
      </c>
      <c r="E65" t="s">
        <v>128</v>
      </c>
      <c r="F65" t="str">
        <f t="shared" si="1"/>
        <v>5 - innovación</v>
      </c>
    </row>
    <row r="66" spans="1:6" x14ac:dyDescent="0.2">
      <c r="A66">
        <v>65</v>
      </c>
      <c r="B66" t="s">
        <v>65</v>
      </c>
      <c r="C66">
        <v>12</v>
      </c>
      <c r="D66">
        <v>4</v>
      </c>
      <c r="E66" t="s">
        <v>128</v>
      </c>
      <c r="F66" t="str">
        <f t="shared" si="1"/>
        <v>5 - innovación</v>
      </c>
    </row>
    <row r="67" spans="1:6" x14ac:dyDescent="0.2">
      <c r="A67">
        <v>66</v>
      </c>
      <c r="B67" t="s">
        <v>66</v>
      </c>
      <c r="C67">
        <v>12</v>
      </c>
      <c r="D67">
        <v>4</v>
      </c>
      <c r="E67" t="s">
        <v>128</v>
      </c>
      <c r="F67" t="str">
        <f t="shared" si="1"/>
        <v>5 - innovación</v>
      </c>
    </row>
    <row r="68" spans="1:6" x14ac:dyDescent="0.2">
      <c r="A68">
        <v>67</v>
      </c>
      <c r="B68" t="s">
        <v>67</v>
      </c>
      <c r="C68">
        <v>12</v>
      </c>
      <c r="D68">
        <v>4</v>
      </c>
      <c r="E68" t="s">
        <v>128</v>
      </c>
      <c r="F68" t="str">
        <f t="shared" si="1"/>
        <v>5 - innovación</v>
      </c>
    </row>
    <row r="69" spans="1:6" x14ac:dyDescent="0.2">
      <c r="A69">
        <v>68</v>
      </c>
      <c r="B69" t="s">
        <v>68</v>
      </c>
      <c r="C69">
        <v>12</v>
      </c>
      <c r="D69">
        <v>4</v>
      </c>
      <c r="E69" t="s">
        <v>128</v>
      </c>
      <c r="F69" t="str">
        <f t="shared" si="1"/>
        <v>5 - innovación</v>
      </c>
    </row>
    <row r="70" spans="1:6" x14ac:dyDescent="0.2">
      <c r="A70">
        <v>69</v>
      </c>
      <c r="B70" t="s">
        <v>69</v>
      </c>
      <c r="C70">
        <v>9</v>
      </c>
      <c r="D70">
        <v>6</v>
      </c>
      <c r="E70" t="s">
        <v>131</v>
      </c>
      <c r="F70" t="str">
        <f t="shared" si="1"/>
        <v>2 - coremarkets</v>
      </c>
    </row>
    <row r="71" spans="1:6" x14ac:dyDescent="0.2">
      <c r="A71">
        <v>70</v>
      </c>
      <c r="B71" t="s">
        <v>70</v>
      </c>
      <c r="C71">
        <v>2</v>
      </c>
      <c r="D71">
        <v>1</v>
      </c>
      <c r="E71" t="s">
        <v>126</v>
      </c>
      <c r="F71" t="str">
        <f>VLOOKUP(C71,Hoja1!A:B,2,0)</f>
        <v>2 nexus hub</v>
      </c>
    </row>
    <row r="72" spans="1:6" x14ac:dyDescent="0.2">
      <c r="A72">
        <v>71</v>
      </c>
      <c r="B72" t="s">
        <v>71</v>
      </c>
      <c r="C72">
        <v>2</v>
      </c>
      <c r="D72">
        <v>1</v>
      </c>
      <c r="E72" t="s">
        <v>126</v>
      </c>
      <c r="F72" t="str">
        <f>VLOOKUP(C72,Hoja1!A:B,2,0)</f>
        <v>2 nexus hub</v>
      </c>
    </row>
    <row r="73" spans="1:6" x14ac:dyDescent="0.2">
      <c r="A73">
        <v>72</v>
      </c>
      <c r="B73" t="s">
        <v>72</v>
      </c>
      <c r="C73">
        <v>2</v>
      </c>
      <c r="D73">
        <v>1</v>
      </c>
      <c r="E73" t="s">
        <v>126</v>
      </c>
      <c r="F73" t="str">
        <f>VLOOKUP(C73,Hoja1!A:B,2,0)</f>
        <v>2 nexus hub</v>
      </c>
    </row>
    <row r="74" spans="1:6" x14ac:dyDescent="0.2">
      <c r="A74">
        <v>73</v>
      </c>
      <c r="B74" t="s">
        <v>73</v>
      </c>
      <c r="C74">
        <v>2</v>
      </c>
      <c r="D74">
        <v>1</v>
      </c>
      <c r="E74" t="s">
        <v>126</v>
      </c>
      <c r="F74" t="str">
        <f>VLOOKUP(C74,Hoja1!A:B,2,0)</f>
        <v>2 nexus hub</v>
      </c>
    </row>
    <row r="75" spans="1:6" x14ac:dyDescent="0.2">
      <c r="A75">
        <v>74</v>
      </c>
      <c r="B75" t="s">
        <v>74</v>
      </c>
      <c r="C75">
        <v>2</v>
      </c>
      <c r="D75">
        <v>1</v>
      </c>
      <c r="E75" t="s">
        <v>126</v>
      </c>
      <c r="F75" t="str">
        <f>VLOOKUP(C75,Hoja1!A:B,2,0)</f>
        <v>2 nexus hub</v>
      </c>
    </row>
    <row r="76" spans="1:6" x14ac:dyDescent="0.2">
      <c r="A76">
        <v>75</v>
      </c>
      <c r="B76" t="s">
        <v>75</v>
      </c>
      <c r="C76">
        <v>2</v>
      </c>
      <c r="D76">
        <v>1</v>
      </c>
      <c r="E76" t="s">
        <v>126</v>
      </c>
      <c r="F76" t="str">
        <f>VLOOKUP(C76,Hoja1!A:B,2,0)</f>
        <v>2 nexus hub</v>
      </c>
    </row>
    <row r="77" spans="1:6" x14ac:dyDescent="0.2">
      <c r="A77">
        <v>76</v>
      </c>
      <c r="B77" t="s">
        <v>76</v>
      </c>
      <c r="C77">
        <v>2</v>
      </c>
      <c r="D77">
        <v>1</v>
      </c>
      <c r="E77" t="s">
        <v>126</v>
      </c>
      <c r="F77" t="str">
        <f>VLOOKUP(C77,Hoja1!A:B,2,0)</f>
        <v>2 nexus hub</v>
      </c>
    </row>
    <row r="78" spans="1:6" x14ac:dyDescent="0.2">
      <c r="A78">
        <v>77</v>
      </c>
      <c r="B78" t="s">
        <v>77</v>
      </c>
      <c r="C78">
        <v>2</v>
      </c>
      <c r="D78">
        <v>1</v>
      </c>
      <c r="E78" t="s">
        <v>126</v>
      </c>
      <c r="F78" t="str">
        <f>VLOOKUP(C78,Hoja1!A:B,2,0)</f>
        <v>2 nexus hub</v>
      </c>
    </row>
    <row r="79" spans="1:6" x14ac:dyDescent="0.2">
      <c r="A79">
        <v>78</v>
      </c>
      <c r="B79" t="s">
        <v>78</v>
      </c>
      <c r="C79">
        <v>2</v>
      </c>
      <c r="D79">
        <v>1</v>
      </c>
      <c r="E79" t="s">
        <v>126</v>
      </c>
      <c r="F79" t="str">
        <f>VLOOKUP(C79,Hoja1!A:B,2,0)</f>
        <v>2 nexus hub</v>
      </c>
    </row>
    <row r="80" spans="1:6" x14ac:dyDescent="0.2">
      <c r="A80">
        <v>79</v>
      </c>
      <c r="B80" t="s">
        <v>79</v>
      </c>
      <c r="C80">
        <v>2</v>
      </c>
      <c r="D80">
        <v>1</v>
      </c>
      <c r="E80" t="s">
        <v>126</v>
      </c>
      <c r="F80" t="str">
        <f>VLOOKUP(C80,Hoja1!A:B,2,0)</f>
        <v>2 nexus hub</v>
      </c>
    </row>
    <row r="81" spans="1:6" x14ac:dyDescent="0.2">
      <c r="A81">
        <v>80</v>
      </c>
      <c r="B81" t="s">
        <v>80</v>
      </c>
      <c r="C81">
        <v>3</v>
      </c>
      <c r="D81">
        <v>1</v>
      </c>
      <c r="E81" t="s">
        <v>126</v>
      </c>
      <c r="F81" t="str">
        <f>VLOOKUP(C81,Hoja1!A:B,2,0)</f>
        <v>3 nexus information center</v>
      </c>
    </row>
    <row r="82" spans="1:6" x14ac:dyDescent="0.2">
      <c r="A82">
        <v>81</v>
      </c>
      <c r="B82" t="s">
        <v>81</v>
      </c>
      <c r="C82">
        <v>3</v>
      </c>
      <c r="D82">
        <v>1</v>
      </c>
      <c r="E82" t="s">
        <v>126</v>
      </c>
      <c r="F82" t="str">
        <f>VLOOKUP(C82,Hoja1!A:B,2,0)</f>
        <v>3 nexus information center</v>
      </c>
    </row>
    <row r="83" spans="1:6" x14ac:dyDescent="0.2">
      <c r="A83">
        <v>82</v>
      </c>
      <c r="B83" t="s">
        <v>82</v>
      </c>
      <c r="C83">
        <v>3</v>
      </c>
      <c r="D83">
        <v>1</v>
      </c>
      <c r="E83" t="s">
        <v>126</v>
      </c>
      <c r="F83" t="str">
        <f>VLOOKUP(C83,Hoja1!A:B,2,0)</f>
        <v>3 nexus information center</v>
      </c>
    </row>
    <row r="84" spans="1:6" x14ac:dyDescent="0.2">
      <c r="A84">
        <v>83</v>
      </c>
      <c r="B84" t="s">
        <v>83</v>
      </c>
      <c r="C84">
        <v>3</v>
      </c>
      <c r="D84">
        <v>1</v>
      </c>
      <c r="E84" t="s">
        <v>126</v>
      </c>
      <c r="F84" t="str">
        <f>VLOOKUP(C84,Hoja1!A:B,2,0)</f>
        <v>3 nexus information center</v>
      </c>
    </row>
    <row r="85" spans="1:6" x14ac:dyDescent="0.2">
      <c r="A85">
        <v>84</v>
      </c>
      <c r="B85" t="s">
        <v>84</v>
      </c>
      <c r="C85">
        <v>3</v>
      </c>
      <c r="D85">
        <v>1</v>
      </c>
      <c r="E85" t="s">
        <v>126</v>
      </c>
      <c r="F85" t="str">
        <f>VLOOKUP(C85,Hoja1!A:B,2,0)</f>
        <v>3 nexus information center</v>
      </c>
    </row>
    <row r="86" spans="1:6" x14ac:dyDescent="0.2">
      <c r="A86">
        <v>85</v>
      </c>
      <c r="B86" t="s">
        <v>85</v>
      </c>
      <c r="C86">
        <v>3</v>
      </c>
      <c r="D86">
        <v>1</v>
      </c>
      <c r="E86" t="s">
        <v>126</v>
      </c>
      <c r="F86" t="str">
        <f>VLOOKUP(C86,Hoja1!A:B,2,0)</f>
        <v>3 nexus information center</v>
      </c>
    </row>
    <row r="87" spans="1:6" x14ac:dyDescent="0.2">
      <c r="A87">
        <v>86</v>
      </c>
      <c r="B87" t="s">
        <v>86</v>
      </c>
      <c r="C87">
        <v>3</v>
      </c>
      <c r="D87">
        <v>1</v>
      </c>
      <c r="E87" t="s">
        <v>126</v>
      </c>
      <c r="F87" t="str">
        <f>VLOOKUP(C87,Hoja1!A:B,2,0)</f>
        <v>3 nexus information center</v>
      </c>
    </row>
    <row r="88" spans="1:6" x14ac:dyDescent="0.2">
      <c r="A88">
        <v>87</v>
      </c>
      <c r="B88" t="s">
        <v>87</v>
      </c>
      <c r="C88">
        <v>3</v>
      </c>
      <c r="D88">
        <v>1</v>
      </c>
      <c r="E88" t="s">
        <v>126</v>
      </c>
      <c r="F88" t="str">
        <f>VLOOKUP(C88,Hoja1!A:B,2,0)</f>
        <v>3 nexus information center</v>
      </c>
    </row>
    <row r="89" spans="1:6" x14ac:dyDescent="0.2">
      <c r="A89">
        <v>88</v>
      </c>
      <c r="B89" t="s">
        <v>88</v>
      </c>
      <c r="C89">
        <v>3</v>
      </c>
      <c r="D89">
        <v>1</v>
      </c>
      <c r="E89" t="s">
        <v>126</v>
      </c>
      <c r="F89" t="str">
        <f>VLOOKUP(C89,Hoja1!A:B,2,0)</f>
        <v>3 nexus information center</v>
      </c>
    </row>
    <row r="90" spans="1:6" x14ac:dyDescent="0.2">
      <c r="A90">
        <v>89</v>
      </c>
      <c r="B90" t="s">
        <v>89</v>
      </c>
      <c r="C90">
        <v>3</v>
      </c>
      <c r="D90">
        <v>1</v>
      </c>
      <c r="E90" t="s">
        <v>126</v>
      </c>
      <c r="F90" t="str">
        <f>VLOOKUP(C90,Hoja1!A:B,2,0)</f>
        <v>3 nexus information center</v>
      </c>
    </row>
    <row r="91" spans="1:6" x14ac:dyDescent="0.2">
      <c r="A91">
        <v>90</v>
      </c>
      <c r="B91" t="s">
        <v>90</v>
      </c>
      <c r="C91">
        <v>4</v>
      </c>
      <c r="D91">
        <v>1</v>
      </c>
      <c r="E91" t="s">
        <v>126</v>
      </c>
      <c r="F91" t="str">
        <f>VLOOKUP(C91,Hoja1!A:B,2,0)</f>
        <v>2 nexus hub o 3 nexus global portal</v>
      </c>
    </row>
    <row r="92" spans="1:6" x14ac:dyDescent="0.2">
      <c r="A92">
        <v>91</v>
      </c>
      <c r="B92" t="s">
        <v>91</v>
      </c>
      <c r="C92">
        <v>4</v>
      </c>
      <c r="D92">
        <v>1</v>
      </c>
      <c r="E92" t="s">
        <v>126</v>
      </c>
      <c r="F92" t="str">
        <f>VLOOKUP(C92,Hoja1!A:B,2,0)</f>
        <v>2 nexus hub o 3 nexus global portal</v>
      </c>
    </row>
    <row r="93" spans="1:6" x14ac:dyDescent="0.2">
      <c r="A93">
        <v>92</v>
      </c>
      <c r="B93" t="s">
        <v>92</v>
      </c>
      <c r="C93">
        <v>4</v>
      </c>
      <c r="D93">
        <v>1</v>
      </c>
      <c r="E93" t="s">
        <v>126</v>
      </c>
      <c r="F93" t="str">
        <f>VLOOKUP(C93,Hoja1!A:B,2,0)</f>
        <v>2 nexus hub o 3 nexus global portal</v>
      </c>
    </row>
    <row r="94" spans="1:6" x14ac:dyDescent="0.2">
      <c r="A94">
        <v>93</v>
      </c>
      <c r="B94" t="s">
        <v>93</v>
      </c>
      <c r="C94">
        <v>4</v>
      </c>
      <c r="D94">
        <v>1</v>
      </c>
      <c r="E94" t="s">
        <v>126</v>
      </c>
      <c r="F94" t="str">
        <f>VLOOKUP(C94,Hoja1!A:B,2,0)</f>
        <v>2 nexus hub o 3 nexus global portal</v>
      </c>
    </row>
    <row r="95" spans="1:6" x14ac:dyDescent="0.2">
      <c r="A95">
        <v>94</v>
      </c>
      <c r="B95" t="s">
        <v>94</v>
      </c>
      <c r="C95">
        <v>4</v>
      </c>
      <c r="D95">
        <v>1</v>
      </c>
      <c r="E95" t="s">
        <v>126</v>
      </c>
      <c r="F95" t="str">
        <f>VLOOKUP(C95,Hoja1!A:B,2,0)</f>
        <v>2 nexus hub o 3 nexus global portal</v>
      </c>
    </row>
    <row r="96" spans="1:6" x14ac:dyDescent="0.2">
      <c r="A96">
        <v>95</v>
      </c>
      <c r="B96" t="s">
        <v>95</v>
      </c>
      <c r="C96">
        <v>4</v>
      </c>
      <c r="D96">
        <v>1</v>
      </c>
      <c r="E96" t="s">
        <v>126</v>
      </c>
      <c r="F96" t="str">
        <f>VLOOKUP(C96,Hoja1!A:B,2,0)</f>
        <v>2 nexus hub o 3 nexus global portal</v>
      </c>
    </row>
    <row r="97" spans="1:6" x14ac:dyDescent="0.2">
      <c r="A97">
        <v>96</v>
      </c>
      <c r="B97" t="s">
        <v>96</v>
      </c>
      <c r="C97">
        <v>4</v>
      </c>
      <c r="D97">
        <v>1</v>
      </c>
      <c r="E97" t="s">
        <v>126</v>
      </c>
      <c r="F97" t="str">
        <f>VLOOKUP(C97,Hoja1!A:B,2,0)</f>
        <v>2 nexus hub o 3 nexus global portal</v>
      </c>
    </row>
    <row r="98" spans="1:6" x14ac:dyDescent="0.2">
      <c r="A98">
        <v>97</v>
      </c>
      <c r="B98" t="s">
        <v>97</v>
      </c>
      <c r="C98">
        <v>4</v>
      </c>
      <c r="D98">
        <v>1</v>
      </c>
      <c r="E98" t="s">
        <v>126</v>
      </c>
      <c r="F98" t="str">
        <f>VLOOKUP(C98,Hoja1!A:B,2,0)</f>
        <v>2 nexus hub o 3 nexus global portal</v>
      </c>
    </row>
    <row r="99" spans="1:6" x14ac:dyDescent="0.2">
      <c r="A99">
        <v>98</v>
      </c>
      <c r="B99" t="s">
        <v>98</v>
      </c>
      <c r="C99">
        <v>4</v>
      </c>
      <c r="D99">
        <v>1</v>
      </c>
      <c r="E99" t="s">
        <v>126</v>
      </c>
      <c r="F99" t="str">
        <f>VLOOKUP(C99,Hoja1!A:B,2,0)</f>
        <v>2 nexus hub o 3 nexus global portal</v>
      </c>
    </row>
    <row r="100" spans="1:6" x14ac:dyDescent="0.2">
      <c r="A100">
        <v>99</v>
      </c>
      <c r="B100" t="s">
        <v>99</v>
      </c>
      <c r="C100">
        <v>4</v>
      </c>
      <c r="D100">
        <v>1</v>
      </c>
      <c r="E100" t="s">
        <v>126</v>
      </c>
      <c r="F100" t="str">
        <f>VLOOKUP(C100,Hoja1!A:B,2,0)</f>
        <v>2 nexus hub o 3 nexus global portal</v>
      </c>
    </row>
    <row r="101" spans="1:6" x14ac:dyDescent="0.2">
      <c r="A101">
        <v>100</v>
      </c>
      <c r="B101" t="s">
        <v>100</v>
      </c>
      <c r="C101">
        <v>6</v>
      </c>
      <c r="D101">
        <v>1</v>
      </c>
      <c r="E101" t="s">
        <v>126</v>
      </c>
      <c r="F101" t="str">
        <f>VLOOKUP(C101,Hoja1!A:B,2,0)</f>
        <v>3 nexus global portal</v>
      </c>
    </row>
    <row r="102" spans="1:6" x14ac:dyDescent="0.2">
      <c r="A102">
        <v>101</v>
      </c>
      <c r="B102" t="s">
        <v>101</v>
      </c>
      <c r="C102">
        <v>6</v>
      </c>
      <c r="D102">
        <v>1</v>
      </c>
      <c r="E102" t="s">
        <v>126</v>
      </c>
      <c r="F102" t="str">
        <f>VLOOKUP(C102,Hoja1!A:B,2,0)</f>
        <v>3 nexus global portal</v>
      </c>
    </row>
    <row r="103" spans="1:6" x14ac:dyDescent="0.2">
      <c r="A103">
        <v>102</v>
      </c>
      <c r="B103" t="s">
        <v>102</v>
      </c>
      <c r="C103">
        <v>6</v>
      </c>
      <c r="D103">
        <v>1</v>
      </c>
      <c r="E103" t="s">
        <v>126</v>
      </c>
      <c r="F103" t="str">
        <f>VLOOKUP(C103,Hoja1!A:B,2,0)</f>
        <v>3 nexus global portal</v>
      </c>
    </row>
    <row r="104" spans="1:6" x14ac:dyDescent="0.2">
      <c r="A104">
        <v>103</v>
      </c>
      <c r="B104" t="s">
        <v>103</v>
      </c>
      <c r="C104">
        <v>6</v>
      </c>
      <c r="D104">
        <v>1</v>
      </c>
      <c r="E104" t="s">
        <v>126</v>
      </c>
      <c r="F104" t="str">
        <f>VLOOKUP(C104,Hoja1!A:B,2,0)</f>
        <v>3 nexus global portal</v>
      </c>
    </row>
    <row r="105" spans="1:6" x14ac:dyDescent="0.2">
      <c r="A105">
        <v>104</v>
      </c>
      <c r="B105" t="s">
        <v>104</v>
      </c>
      <c r="C105">
        <v>6</v>
      </c>
      <c r="D105">
        <v>1</v>
      </c>
      <c r="E105" t="s">
        <v>126</v>
      </c>
      <c r="F105" t="str">
        <f>VLOOKUP(C105,Hoja1!A:B,2,0)</f>
        <v>3 nexus global portal</v>
      </c>
    </row>
    <row r="106" spans="1:6" x14ac:dyDescent="0.2">
      <c r="A106">
        <v>105</v>
      </c>
      <c r="B106" t="s">
        <v>105</v>
      </c>
      <c r="C106">
        <v>6</v>
      </c>
      <c r="D106">
        <v>1</v>
      </c>
      <c r="E106" t="s">
        <v>126</v>
      </c>
      <c r="F106" t="str">
        <f>VLOOKUP(C106,Hoja1!A:B,2,0)</f>
        <v>3 nexus global portal</v>
      </c>
    </row>
    <row r="107" spans="1:6" x14ac:dyDescent="0.2">
      <c r="A107">
        <v>106</v>
      </c>
      <c r="B107" t="s">
        <v>106</v>
      </c>
      <c r="C107">
        <v>6</v>
      </c>
      <c r="D107">
        <v>1</v>
      </c>
      <c r="E107" t="s">
        <v>126</v>
      </c>
      <c r="F107" t="str">
        <f>VLOOKUP(C107,Hoja1!A:B,2,0)</f>
        <v>3 nexus global portal</v>
      </c>
    </row>
    <row r="108" spans="1:6" x14ac:dyDescent="0.2">
      <c r="A108">
        <v>107</v>
      </c>
      <c r="B108" t="s">
        <v>107</v>
      </c>
      <c r="C108">
        <v>6</v>
      </c>
      <c r="D108">
        <v>1</v>
      </c>
      <c r="E108" t="s">
        <v>126</v>
      </c>
      <c r="F108" t="str">
        <f>VLOOKUP(C108,Hoja1!A:B,2,0)</f>
        <v>3 nexus global portal</v>
      </c>
    </row>
    <row r="109" spans="1:6" x14ac:dyDescent="0.2">
      <c r="A109">
        <v>108</v>
      </c>
      <c r="B109" t="s">
        <v>108</v>
      </c>
      <c r="C109">
        <v>6</v>
      </c>
      <c r="D109">
        <v>1</v>
      </c>
      <c r="E109" t="s">
        <v>126</v>
      </c>
      <c r="F109" t="str">
        <f>VLOOKUP(C109,Hoja1!A:B,2,0)</f>
        <v>3 nexus global portal</v>
      </c>
    </row>
    <row r="110" spans="1:6" x14ac:dyDescent="0.2">
      <c r="A110">
        <v>109</v>
      </c>
      <c r="B110" t="s">
        <v>109</v>
      </c>
      <c r="C110">
        <v>13</v>
      </c>
      <c r="D110">
        <v>6</v>
      </c>
      <c r="E110" t="s">
        <v>131</v>
      </c>
      <c r="F110" t="str">
        <f t="shared" ref="F110:F125" si="2">E110</f>
        <v>2 - coremarkets</v>
      </c>
    </row>
    <row r="111" spans="1:6" x14ac:dyDescent="0.2">
      <c r="A111">
        <v>110</v>
      </c>
      <c r="B111" t="s">
        <v>110</v>
      </c>
      <c r="C111">
        <v>13</v>
      </c>
      <c r="D111">
        <v>6</v>
      </c>
      <c r="E111" t="s">
        <v>131</v>
      </c>
      <c r="F111" t="str">
        <f t="shared" si="2"/>
        <v>2 - coremarkets</v>
      </c>
    </row>
    <row r="112" spans="1:6" x14ac:dyDescent="0.2">
      <c r="A112">
        <v>111</v>
      </c>
      <c r="B112" t="s">
        <v>111</v>
      </c>
      <c r="C112">
        <v>13</v>
      </c>
      <c r="D112">
        <v>6</v>
      </c>
      <c r="E112" t="s">
        <v>131</v>
      </c>
      <c r="F112" t="str">
        <f t="shared" si="2"/>
        <v>2 - coremarkets</v>
      </c>
    </row>
    <row r="113" spans="1:6" x14ac:dyDescent="0.2">
      <c r="A113">
        <v>112</v>
      </c>
      <c r="B113" t="s">
        <v>112</v>
      </c>
      <c r="C113">
        <v>13</v>
      </c>
      <c r="D113">
        <v>6</v>
      </c>
      <c r="E113" t="s">
        <v>131</v>
      </c>
      <c r="F113" t="str">
        <f t="shared" si="2"/>
        <v>2 - coremarkets</v>
      </c>
    </row>
    <row r="114" spans="1:6" x14ac:dyDescent="0.2">
      <c r="A114">
        <v>113</v>
      </c>
      <c r="B114" t="s">
        <v>113</v>
      </c>
      <c r="C114">
        <v>13</v>
      </c>
      <c r="D114">
        <v>6</v>
      </c>
      <c r="E114" t="s">
        <v>131</v>
      </c>
      <c r="F114" t="str">
        <f t="shared" si="2"/>
        <v>2 - coremarkets</v>
      </c>
    </row>
    <row r="115" spans="1:6" x14ac:dyDescent="0.2">
      <c r="A115">
        <v>114</v>
      </c>
      <c r="B115" t="s">
        <v>114</v>
      </c>
      <c r="C115">
        <v>13</v>
      </c>
      <c r="D115">
        <v>6</v>
      </c>
      <c r="E115" t="s">
        <v>131</v>
      </c>
      <c r="F115" t="str">
        <f t="shared" si="2"/>
        <v>2 - coremarkets</v>
      </c>
    </row>
    <row r="116" spans="1:6" x14ac:dyDescent="0.2">
      <c r="A116">
        <v>115</v>
      </c>
      <c r="B116" t="s">
        <v>115</v>
      </c>
      <c r="C116">
        <v>14</v>
      </c>
      <c r="D116">
        <v>6</v>
      </c>
      <c r="E116" t="s">
        <v>131</v>
      </c>
      <c r="F116" t="str">
        <f t="shared" si="2"/>
        <v>2 - coremarkets</v>
      </c>
    </row>
    <row r="117" spans="1:6" x14ac:dyDescent="0.2">
      <c r="A117">
        <v>116</v>
      </c>
      <c r="B117" t="s">
        <v>116</v>
      </c>
      <c r="C117">
        <v>14</v>
      </c>
      <c r="D117">
        <v>6</v>
      </c>
      <c r="E117" t="s">
        <v>131</v>
      </c>
      <c r="F117" t="str">
        <f t="shared" si="2"/>
        <v>2 - coremarkets</v>
      </c>
    </row>
    <row r="118" spans="1:6" x14ac:dyDescent="0.2">
      <c r="A118">
        <v>117</v>
      </c>
      <c r="B118" t="s">
        <v>117</v>
      </c>
      <c r="C118">
        <v>14</v>
      </c>
      <c r="D118">
        <v>6</v>
      </c>
      <c r="E118" t="s">
        <v>131</v>
      </c>
      <c r="F118" t="str">
        <f t="shared" si="2"/>
        <v>2 - coremarkets</v>
      </c>
    </row>
    <row r="119" spans="1:6" x14ac:dyDescent="0.2">
      <c r="A119">
        <v>118</v>
      </c>
      <c r="B119" t="s">
        <v>118</v>
      </c>
      <c r="C119">
        <v>14</v>
      </c>
      <c r="D119">
        <v>6</v>
      </c>
      <c r="E119" t="s">
        <v>131</v>
      </c>
      <c r="F119" t="str">
        <f t="shared" si="2"/>
        <v>2 - coremarkets</v>
      </c>
    </row>
    <row r="120" spans="1:6" x14ac:dyDescent="0.2">
      <c r="A120">
        <v>119</v>
      </c>
      <c r="B120" t="s">
        <v>119</v>
      </c>
      <c r="C120">
        <v>14</v>
      </c>
      <c r="D120">
        <v>6</v>
      </c>
      <c r="E120" t="s">
        <v>131</v>
      </c>
      <c r="F120" t="str">
        <f t="shared" si="2"/>
        <v>2 - coremarkets</v>
      </c>
    </row>
    <row r="121" spans="1:6" x14ac:dyDescent="0.2">
      <c r="A121">
        <v>120</v>
      </c>
      <c r="B121" t="s">
        <v>120</v>
      </c>
      <c r="C121">
        <v>14</v>
      </c>
      <c r="D121">
        <v>6</v>
      </c>
      <c r="E121" t="s">
        <v>131</v>
      </c>
      <c r="F121" t="str">
        <f t="shared" si="2"/>
        <v>2 - coremarkets</v>
      </c>
    </row>
    <row r="122" spans="1:6" x14ac:dyDescent="0.2">
      <c r="A122">
        <v>121</v>
      </c>
      <c r="B122" t="s">
        <v>121</v>
      </c>
      <c r="C122">
        <v>14</v>
      </c>
      <c r="D122">
        <v>6</v>
      </c>
      <c r="E122" t="s">
        <v>131</v>
      </c>
      <c r="F122" t="str">
        <f t="shared" si="2"/>
        <v>2 - coremarkets</v>
      </c>
    </row>
    <row r="123" spans="1:6" x14ac:dyDescent="0.2">
      <c r="A123">
        <v>122</v>
      </c>
      <c r="B123" t="s">
        <v>122</v>
      </c>
      <c r="C123">
        <v>14</v>
      </c>
      <c r="D123">
        <v>6</v>
      </c>
      <c r="E123" t="s">
        <v>131</v>
      </c>
      <c r="F123" t="str">
        <f t="shared" si="2"/>
        <v>2 - coremarkets</v>
      </c>
    </row>
    <row r="124" spans="1:6" x14ac:dyDescent="0.2">
      <c r="B124" t="s">
        <v>123</v>
      </c>
      <c r="C124">
        <v>14</v>
      </c>
      <c r="D124">
        <v>6</v>
      </c>
      <c r="E124" t="s">
        <v>131</v>
      </c>
      <c r="F124" t="str">
        <f t="shared" si="2"/>
        <v>2 - coremarkets</v>
      </c>
    </row>
    <row r="125" spans="1:6" x14ac:dyDescent="0.2">
      <c r="B125" t="s">
        <v>124</v>
      </c>
      <c r="C125">
        <v>14</v>
      </c>
      <c r="D125">
        <v>6</v>
      </c>
      <c r="E125" t="s">
        <v>131</v>
      </c>
      <c r="F125" t="str">
        <f t="shared" si="2"/>
        <v>2 - coremarkets</v>
      </c>
    </row>
  </sheetData>
  <autoFilter ref="A1:D125"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50EC7-9E76-B044-8369-523BBC45DC09}">
  <dimension ref="A1:B15"/>
  <sheetViews>
    <sheetView zoomScale="125" workbookViewId="0">
      <selection activeCell="B4" sqref="B4"/>
    </sheetView>
  </sheetViews>
  <sheetFormatPr baseColWidth="10" defaultRowHeight="15" x14ac:dyDescent="0.2"/>
  <cols>
    <col min="2" max="2" width="41.5" customWidth="1"/>
  </cols>
  <sheetData>
    <row r="1" spans="1:2" x14ac:dyDescent="0.2">
      <c r="A1" s="1" t="s">
        <v>129</v>
      </c>
    </row>
    <row r="2" spans="1:2" x14ac:dyDescent="0.2">
      <c r="A2">
        <v>1</v>
      </c>
    </row>
    <row r="3" spans="1:2" x14ac:dyDescent="0.2">
      <c r="A3">
        <v>2</v>
      </c>
      <c r="B3" t="s">
        <v>134</v>
      </c>
    </row>
    <row r="4" spans="1:2" x14ac:dyDescent="0.2">
      <c r="A4">
        <v>3</v>
      </c>
      <c r="B4" t="s">
        <v>135</v>
      </c>
    </row>
    <row r="5" spans="1:2" x14ac:dyDescent="0.2">
      <c r="A5">
        <v>4</v>
      </c>
      <c r="B5" t="s">
        <v>136</v>
      </c>
    </row>
    <row r="6" spans="1:2" x14ac:dyDescent="0.2">
      <c r="A6">
        <v>5</v>
      </c>
    </row>
    <row r="7" spans="1:2" x14ac:dyDescent="0.2">
      <c r="A7">
        <v>6</v>
      </c>
      <c r="B7" t="s">
        <v>137</v>
      </c>
    </row>
    <row r="8" spans="1:2" x14ac:dyDescent="0.2">
      <c r="A8">
        <v>7</v>
      </c>
    </row>
    <row r="9" spans="1:2" x14ac:dyDescent="0.2">
      <c r="A9">
        <v>8</v>
      </c>
    </row>
    <row r="10" spans="1:2" x14ac:dyDescent="0.2">
      <c r="A10">
        <v>9</v>
      </c>
    </row>
    <row r="11" spans="1:2" x14ac:dyDescent="0.2">
      <c r="A11">
        <v>10</v>
      </c>
    </row>
    <row r="12" spans="1:2" x14ac:dyDescent="0.2">
      <c r="A12">
        <v>11</v>
      </c>
      <c r="B12" t="s">
        <v>138</v>
      </c>
    </row>
    <row r="13" spans="1:2" x14ac:dyDescent="0.2">
      <c r="A13">
        <v>12</v>
      </c>
    </row>
    <row r="14" spans="1:2" x14ac:dyDescent="0.2">
      <c r="A14">
        <v>13</v>
      </c>
    </row>
    <row r="15" spans="1:2" x14ac:dyDescent="0.2">
      <c r="A15">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javier zazo</cp:lastModifiedBy>
  <dcterms:created xsi:type="dcterms:W3CDTF">2026-03-31T15:41:58Z</dcterms:created>
  <dcterms:modified xsi:type="dcterms:W3CDTF">2026-04-02T17:38:55Z</dcterms:modified>
</cp:coreProperties>
</file>